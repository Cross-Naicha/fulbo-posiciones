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22254ca56b479b7e/Coding/Fulbo/fulbo-posiciones/data/img/figuritas/Originales/"/>
    </mc:Choice>
  </mc:AlternateContent>
  <xr:revisionPtr revIDLastSave="157" documentId="11_F25DC773A252ABDACC104897891B42CA5ADE58FB" xr6:coauthVersionLast="47" xr6:coauthVersionMax="47" xr10:uidLastSave="{CE3D36C1-E6DA-4C63-ABA3-5FC9393223CF}"/>
  <bookViews>
    <workbookView xWindow="-108" yWindow="-108" windowWidth="23256" windowHeight="131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2" i="1" l="1"/>
  <c r="J12" i="1"/>
  <c r="K12" i="1"/>
  <c r="L12" i="1"/>
  <c r="I3" i="1"/>
  <c r="J3" i="1"/>
  <c r="K3" i="1"/>
  <c r="L3" i="1"/>
  <c r="I4" i="1"/>
  <c r="J4" i="1"/>
  <c r="K4" i="1"/>
  <c r="L4" i="1"/>
  <c r="I5" i="1"/>
  <c r="J5" i="1"/>
  <c r="K5" i="1"/>
  <c r="L5" i="1"/>
  <c r="I6" i="1"/>
  <c r="J6" i="1"/>
  <c r="K6" i="1"/>
  <c r="L6" i="1"/>
  <c r="I7" i="1"/>
  <c r="J7" i="1"/>
  <c r="K7" i="1"/>
  <c r="L7" i="1"/>
  <c r="I8" i="1"/>
  <c r="J8" i="1"/>
  <c r="K8" i="1"/>
  <c r="L8" i="1"/>
  <c r="I9" i="1"/>
  <c r="J9" i="1"/>
  <c r="K9" i="1"/>
  <c r="L9" i="1"/>
  <c r="I10" i="1"/>
  <c r="J10" i="1"/>
  <c r="K10" i="1"/>
  <c r="L10" i="1"/>
  <c r="I11" i="1"/>
  <c r="J11" i="1"/>
  <c r="K11" i="1"/>
  <c r="L11" i="1"/>
  <c r="K2" i="1"/>
  <c r="L2" i="1"/>
  <c r="J2" i="1"/>
  <c r="I2" i="1"/>
</calcChain>
</file>

<file path=xl/sharedStrings.xml><?xml version="1.0" encoding="utf-8"?>
<sst xmlns="http://schemas.openxmlformats.org/spreadsheetml/2006/main" count="45" uniqueCount="38">
  <si>
    <t>Benjamín</t>
  </si>
  <si>
    <t>Salas</t>
  </si>
  <si>
    <t>Nombre</t>
  </si>
  <si>
    <t>Apellido</t>
  </si>
  <si>
    <t>Peso</t>
  </si>
  <si>
    <t>M</t>
  </si>
  <si>
    <t>CM</t>
  </si>
  <si>
    <t>KG</t>
  </si>
  <si>
    <t>A</t>
  </si>
  <si>
    <t>D</t>
  </si>
  <si>
    <t>Nombre Completo</t>
  </si>
  <si>
    <t>Nacimiento</t>
  </si>
  <si>
    <t>Altura</t>
  </si>
  <si>
    <t>Bernardo</t>
  </si>
  <si>
    <t>Guillou</t>
  </si>
  <si>
    <t>Cesar</t>
  </si>
  <si>
    <t>Nuñez</t>
  </si>
  <si>
    <t>Alexis</t>
  </si>
  <si>
    <t>Chagay</t>
  </si>
  <si>
    <t>Juan Pablo</t>
  </si>
  <si>
    <t>Lombardo</t>
  </si>
  <si>
    <t>Mariano</t>
  </si>
  <si>
    <t>Ruiz</t>
  </si>
  <si>
    <t>Matias</t>
  </si>
  <si>
    <t>Ramos Benitez</t>
  </si>
  <si>
    <t>Martin</t>
  </si>
  <si>
    <t>Ponce</t>
  </si>
  <si>
    <t>Gonzalo</t>
  </si>
  <si>
    <t>Cortes</t>
  </si>
  <si>
    <t>Nicolas</t>
  </si>
  <si>
    <t>Daruich</t>
  </si>
  <si>
    <t>Ruiz Alonzua</t>
  </si>
  <si>
    <t>Equipo</t>
  </si>
  <si>
    <t>CA RIVER PLATE</t>
  </si>
  <si>
    <t>C ATLETICO TUCUMAN</t>
  </si>
  <si>
    <t>CA VELEZ SARFIELD</t>
  </si>
  <si>
    <t>CA SAN MARTIN DE T</t>
  </si>
  <si>
    <t>CA BOCA JUNIORS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</si>
</sst>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0" xfId="0" applyFon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3"/>
  <sheetViews>
    <sheetView tabSelected="1" workbookViewId="0">
      <selection activeCell="L9" sqref="L9"/>
    </sheetView>
  </sheetViews>
  <sheetFormatPr baseColWidth="10" defaultColWidth="8.88671875" defaultRowHeight="14.4" x14ac:dyDescent="0.3"/>
  <cols>
    <col min="1" max="2" width="16.77734375" customWidth="1"/>
    <col min="3" max="8" width="4.77734375" customWidth="1"/>
    <col min="9" max="9" width="32.77734375" customWidth="1"/>
    <col min="10" max="10" width="16.77734375" customWidth="1"/>
    <col min="13" max="13" width="32.77734375" customWidth="1"/>
  </cols>
  <sheetData>
    <row r="1" spans="1:13" x14ac:dyDescent="0.3">
      <c r="A1" t="s">
        <v>2</v>
      </c>
      <c r="B1" t="s">
        <v>3</v>
      </c>
      <c r="C1" t="s">
        <v>9</v>
      </c>
      <c r="D1" t="s">
        <v>5</v>
      </c>
      <c r="E1" t="s">
        <v>8</v>
      </c>
      <c r="F1" t="s">
        <v>6</v>
      </c>
      <c r="G1" t="s">
        <v>7</v>
      </c>
      <c r="I1" t="s">
        <v>10</v>
      </c>
      <c r="J1" t="s">
        <v>11</v>
      </c>
      <c r="K1" t="s">
        <v>12</v>
      </c>
      <c r="L1" t="s">
        <v>4</v>
      </c>
      <c r="M1" t="s">
        <v>32</v>
      </c>
    </row>
    <row r="2" spans="1:13" x14ac:dyDescent="0.3">
      <c r="A2" t="s">
        <v>0</v>
      </c>
      <c r="B2" t="s">
        <v>1</v>
      </c>
      <c r="C2">
        <v>5</v>
      </c>
      <c r="D2">
        <v>9</v>
      </c>
      <c r="E2">
        <v>91</v>
      </c>
      <c r="F2">
        <v>84</v>
      </c>
      <c r="G2">
        <v>89</v>
      </c>
      <c r="I2" s="2" t="str">
        <f>_xlfn.CONCAT(A2," ",B2)</f>
        <v>Benjamín Salas</v>
      </c>
      <c r="J2" s="1">
        <f>(DATE(E2,D2,C2))</f>
        <v>33486</v>
      </c>
      <c r="K2" s="3">
        <f>(100+F2)/100</f>
        <v>1.84</v>
      </c>
      <c r="L2">
        <f>G2</f>
        <v>89</v>
      </c>
      <c r="M2" t="s">
        <v>33</v>
      </c>
    </row>
    <row r="3" spans="1:13" x14ac:dyDescent="0.3">
      <c r="A3" t="s">
        <v>13</v>
      </c>
      <c r="B3" t="s">
        <v>14</v>
      </c>
      <c r="C3">
        <v>22</v>
      </c>
      <c r="D3">
        <v>8</v>
      </c>
      <c r="E3">
        <v>91</v>
      </c>
      <c r="F3">
        <v>90</v>
      </c>
      <c r="G3">
        <v>90</v>
      </c>
      <c r="I3" s="2" t="str">
        <f t="shared" ref="I3:I11" si="0">_xlfn.CONCAT(A3," ",B3)</f>
        <v>Bernardo Guillou</v>
      </c>
      <c r="J3" s="1">
        <f t="shared" ref="J3:J11" si="1">(DATE(E3,D3,C3))</f>
        <v>33472</v>
      </c>
      <c r="K3" s="3">
        <f t="shared" ref="K3:K11" si="2">(100+F3)/100</f>
        <v>1.9</v>
      </c>
      <c r="L3">
        <f t="shared" ref="L3:L11" si="3">G3</f>
        <v>90</v>
      </c>
      <c r="M3" t="s">
        <v>37</v>
      </c>
    </row>
    <row r="4" spans="1:13" x14ac:dyDescent="0.3">
      <c r="A4" t="s">
        <v>15</v>
      </c>
      <c r="B4" t="s">
        <v>16</v>
      </c>
      <c r="C4">
        <v>17</v>
      </c>
      <c r="D4">
        <v>7</v>
      </c>
      <c r="E4">
        <v>91</v>
      </c>
      <c r="F4">
        <v>84</v>
      </c>
      <c r="G4">
        <v>91</v>
      </c>
      <c r="I4" s="2" t="str">
        <f t="shared" si="0"/>
        <v>Cesar Nuñez</v>
      </c>
      <c r="J4" s="1">
        <f t="shared" si="1"/>
        <v>33436</v>
      </c>
      <c r="K4" s="3">
        <f t="shared" si="2"/>
        <v>1.84</v>
      </c>
      <c r="L4">
        <f t="shared" si="3"/>
        <v>91</v>
      </c>
      <c r="M4" t="s">
        <v>33</v>
      </c>
    </row>
    <row r="5" spans="1:13" x14ac:dyDescent="0.3">
      <c r="A5" t="s">
        <v>17</v>
      </c>
      <c r="B5" t="s">
        <v>18</v>
      </c>
      <c r="C5">
        <v>23</v>
      </c>
      <c r="D5">
        <v>2</v>
      </c>
      <c r="E5">
        <v>92</v>
      </c>
      <c r="F5">
        <v>93</v>
      </c>
      <c r="G5">
        <v>115</v>
      </c>
      <c r="I5" s="2" t="str">
        <f t="shared" si="0"/>
        <v>Alexis Chagay</v>
      </c>
      <c r="J5" s="1">
        <f t="shared" si="1"/>
        <v>33657</v>
      </c>
      <c r="K5" s="3">
        <f t="shared" si="2"/>
        <v>1.93</v>
      </c>
      <c r="L5">
        <f t="shared" si="3"/>
        <v>115</v>
      </c>
      <c r="M5" t="s">
        <v>33</v>
      </c>
    </row>
    <row r="6" spans="1:13" x14ac:dyDescent="0.3">
      <c r="A6" t="s">
        <v>19</v>
      </c>
      <c r="B6" t="s">
        <v>20</v>
      </c>
      <c r="C6">
        <v>29</v>
      </c>
      <c r="D6">
        <v>6</v>
      </c>
      <c r="E6">
        <v>92</v>
      </c>
      <c r="F6">
        <v>82</v>
      </c>
      <c r="G6">
        <v>60</v>
      </c>
      <c r="I6" s="2" t="str">
        <f t="shared" si="0"/>
        <v>Juan Pablo Lombardo</v>
      </c>
      <c r="J6" s="1">
        <f t="shared" si="1"/>
        <v>33784</v>
      </c>
      <c r="K6" s="3">
        <f t="shared" si="2"/>
        <v>1.82</v>
      </c>
      <c r="L6">
        <f t="shared" si="3"/>
        <v>60</v>
      </c>
      <c r="M6" t="s">
        <v>34</v>
      </c>
    </row>
    <row r="7" spans="1:13" x14ac:dyDescent="0.3">
      <c r="A7" t="s">
        <v>21</v>
      </c>
      <c r="B7" t="s">
        <v>22</v>
      </c>
      <c r="C7">
        <v>10</v>
      </c>
      <c r="D7">
        <v>1</v>
      </c>
      <c r="E7">
        <v>92</v>
      </c>
      <c r="F7">
        <v>80</v>
      </c>
      <c r="G7">
        <v>78</v>
      </c>
      <c r="I7" s="2" t="str">
        <f t="shared" si="0"/>
        <v>Mariano Ruiz</v>
      </c>
      <c r="J7" s="1">
        <f t="shared" si="1"/>
        <v>33613</v>
      </c>
      <c r="K7" s="3">
        <f t="shared" si="2"/>
        <v>1.8</v>
      </c>
      <c r="L7">
        <f t="shared" si="3"/>
        <v>78</v>
      </c>
      <c r="M7" t="s">
        <v>35</v>
      </c>
    </row>
    <row r="8" spans="1:13" x14ac:dyDescent="0.3">
      <c r="A8" t="s">
        <v>23</v>
      </c>
      <c r="B8" t="s">
        <v>24</v>
      </c>
      <c r="C8">
        <v>8</v>
      </c>
      <c r="D8">
        <v>1</v>
      </c>
      <c r="E8">
        <v>92</v>
      </c>
      <c r="F8">
        <v>75</v>
      </c>
      <c r="G8">
        <v>85</v>
      </c>
      <c r="I8" s="2" t="str">
        <f t="shared" si="0"/>
        <v>Matias Ramos Benitez</v>
      </c>
      <c r="J8" s="1">
        <f t="shared" si="1"/>
        <v>33611</v>
      </c>
      <c r="K8" s="3">
        <f t="shared" si="2"/>
        <v>1.75</v>
      </c>
      <c r="L8">
        <f t="shared" si="3"/>
        <v>85</v>
      </c>
      <c r="M8" t="s">
        <v>34</v>
      </c>
    </row>
    <row r="9" spans="1:13" x14ac:dyDescent="0.3">
      <c r="A9" t="s">
        <v>25</v>
      </c>
      <c r="B9" t="s">
        <v>26</v>
      </c>
      <c r="C9">
        <v>16</v>
      </c>
      <c r="D9">
        <v>12</v>
      </c>
      <c r="E9">
        <v>91</v>
      </c>
      <c r="F9">
        <v>68</v>
      </c>
      <c r="G9">
        <v>78</v>
      </c>
      <c r="I9" s="2" t="str">
        <f t="shared" si="0"/>
        <v>Martin Ponce</v>
      </c>
      <c r="J9" s="1">
        <f t="shared" si="1"/>
        <v>33588</v>
      </c>
      <c r="K9" s="3">
        <f t="shared" si="2"/>
        <v>1.68</v>
      </c>
      <c r="L9">
        <f t="shared" si="3"/>
        <v>78</v>
      </c>
      <c r="M9" t="s">
        <v>36</v>
      </c>
    </row>
    <row r="10" spans="1:13" x14ac:dyDescent="0.3">
      <c r="A10" t="s">
        <v>27</v>
      </c>
      <c r="B10" t="s">
        <v>28</v>
      </c>
      <c r="C10">
        <v>27</v>
      </c>
      <c r="D10">
        <v>7</v>
      </c>
      <c r="E10">
        <v>91</v>
      </c>
      <c r="F10">
        <v>70</v>
      </c>
      <c r="G10">
        <v>64</v>
      </c>
      <c r="I10" s="2" t="str">
        <f t="shared" si="0"/>
        <v>Gonzalo Cortes</v>
      </c>
      <c r="J10" s="1">
        <f t="shared" si="1"/>
        <v>33446</v>
      </c>
      <c r="K10" s="3">
        <f t="shared" si="2"/>
        <v>1.7</v>
      </c>
      <c r="L10">
        <f t="shared" si="3"/>
        <v>64</v>
      </c>
      <c r="M10" t="s">
        <v>33</v>
      </c>
    </row>
    <row r="11" spans="1:13" x14ac:dyDescent="0.3">
      <c r="A11" t="s">
        <v>29</v>
      </c>
      <c r="B11" t="s">
        <v>30</v>
      </c>
      <c r="C11">
        <v>16</v>
      </c>
      <c r="D11">
        <v>4</v>
      </c>
      <c r="E11">
        <v>92</v>
      </c>
      <c r="F11">
        <v>72</v>
      </c>
      <c r="G11">
        <v>81</v>
      </c>
      <c r="I11" s="2" t="str">
        <f t="shared" si="0"/>
        <v>Nicolas Daruich</v>
      </c>
      <c r="J11" s="1">
        <f t="shared" si="1"/>
        <v>33710</v>
      </c>
      <c r="K11" s="3">
        <f t="shared" si="2"/>
        <v>1.72</v>
      </c>
      <c r="L11">
        <f t="shared" si="3"/>
        <v>81</v>
      </c>
      <c r="M11" t="s">
        <v>33</v>
      </c>
    </row>
    <row r="12" spans="1:13" x14ac:dyDescent="0.3">
      <c r="A12" t="s">
        <v>19</v>
      </c>
      <c r="B12" t="s">
        <v>31</v>
      </c>
      <c r="C12">
        <v>16</v>
      </c>
      <c r="D12">
        <v>7</v>
      </c>
      <c r="E12">
        <v>91</v>
      </c>
      <c r="F12">
        <v>75</v>
      </c>
      <c r="G12">
        <v>113</v>
      </c>
      <c r="I12" s="2" t="str">
        <f t="shared" ref="I12:I13" si="4">_xlfn.CONCAT(A12," ",B12)</f>
        <v>Juan Pablo Ruiz Alonzua</v>
      </c>
      <c r="J12" s="1">
        <f t="shared" ref="J12:J13" si="5">(DATE(E12,D12,C12))</f>
        <v>33435</v>
      </c>
      <c r="K12" s="3">
        <f t="shared" ref="K12:K13" si="6">(100+F12)/100</f>
        <v>1.75</v>
      </c>
      <c r="L12">
        <f t="shared" ref="L12:L13" si="7">G12</f>
        <v>113</v>
      </c>
      <c r="M12" t="s">
        <v>34</v>
      </c>
    </row>
    <row r="13" spans="1:13" x14ac:dyDescent="0.3">
      <c r="I13" s="2"/>
      <c r="J13" s="1"/>
      <c r="K13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Nicolás Alberto Daruich</dc:creator>
  <cp:lastModifiedBy>Nicolás Alberto Daruich</cp:lastModifiedBy>
  <dcterms:created xsi:type="dcterms:W3CDTF">2015-06-05T18:17:20Z</dcterms:created>
  <dcterms:modified xsi:type="dcterms:W3CDTF">2026-05-19T19:37:10Z</dcterms:modified>
</cp:coreProperties>
</file>